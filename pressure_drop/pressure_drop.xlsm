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tmp" ContentType="image/png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530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arius\Desktop\model\3FBIO\engineering_scipts\pressure_drop\"/>
    </mc:Choice>
  </mc:AlternateContent>
  <xr:revisionPtr revIDLastSave="0" documentId="13_ncr:1_{6318E3BB-EAAB-4594-9E44-3A8E7A77649C}" xr6:coauthVersionLast="46" xr6:coauthVersionMax="46" xr10:uidLastSave="{00000000-0000-0000-0000-000000000000}"/>
  <bookViews>
    <workbookView xWindow="-110" yWindow="-110" windowWidth="19420" windowHeight="10420" xr2:uid="{00000000-000D-0000-FFFF-FFFF00000000}"/>
  </bookViews>
  <sheets>
    <sheet name="Darcy-Weisbach" sheetId="1" r:id="rId1"/>
    <sheet name="DW interpolation" sheetId="2" r:id="rId2"/>
  </sheets>
  <functionGroups builtInGroupCount="19"/>
  <definedNames>
    <definedName name="solver_adj" localSheetId="0" hidden="1">'Darcy-Weisbach'!$C$15</definedName>
    <definedName name="solver_cvg" localSheetId="0" hidden="1">0.0001</definedName>
    <definedName name="solver_drv" localSheetId="0" hidden="1">1</definedName>
    <definedName name="solver_eng" localSheetId="0" hidden="1">1</definedName>
    <definedName name="solver_est" localSheetId="0" hidden="1">1</definedName>
    <definedName name="solver_itr" localSheetId="0" hidden="1">2147483647</definedName>
    <definedName name="solver_lhs1" localSheetId="0" hidden="1">'Darcy-Weisbach'!$C$15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od" localSheetId="0" hidden="1">2147483647</definedName>
    <definedName name="solver_num" localSheetId="0" hidden="1">1</definedName>
    <definedName name="solver_nwt" localSheetId="0" hidden="1">1</definedName>
    <definedName name="solver_opt" localSheetId="0" hidden="1">'Darcy-Weisbach'!$D$16</definedName>
    <definedName name="solver_pre" localSheetId="0" hidden="1">0.000001</definedName>
    <definedName name="solver_rbv" localSheetId="0" hidden="1">1</definedName>
    <definedName name="solver_rel1" localSheetId="0" hidden="1">3</definedName>
    <definedName name="solver_rhs1" localSheetId="0" hidden="1">0</definedName>
    <definedName name="solver_rlx" localSheetId="0" hidden="1">2</definedName>
    <definedName name="solver_rsd" localSheetId="0" hidden="1">0</definedName>
    <definedName name="solver_scl" localSheetId="0" hidden="1">1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3</definedName>
    <definedName name="solver_val" localSheetId="0" hidden="1">0</definedName>
    <definedName name="solver_ver" localSheetId="0" hidden="1">3</definedName>
  </definedNames>
  <calcPr calcId="191029" iterate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4" i="2" l="1"/>
  <c r="A5" i="2" s="1"/>
  <c r="A6" i="2" s="1"/>
  <c r="A7" i="2" s="1"/>
  <c r="A8" i="2" s="1"/>
  <c r="A9" i="2" s="1"/>
  <c r="A10" i="2" s="1"/>
  <c r="A11" i="2" s="1"/>
  <c r="A12" i="2" s="1"/>
  <c r="A13" i="2" s="1"/>
  <c r="A14" i="2" s="1"/>
  <c r="A15" i="2" s="1"/>
  <c r="A16" i="2" s="1"/>
  <c r="A17" i="2" s="1"/>
  <c r="A18" i="2" s="1"/>
  <c r="A19" i="2" s="1"/>
  <c r="A20" i="2" s="1"/>
  <c r="A21" i="2" s="1"/>
  <c r="A22" i="2" s="1"/>
  <c r="A23" i="2" s="1"/>
  <c r="A24" i="2" s="1"/>
  <c r="A25" i="2" s="1"/>
  <c r="A26" i="2" s="1"/>
  <c r="A27" i="2" s="1"/>
  <c r="A28" i="2" s="1"/>
  <c r="A29" i="2" s="1"/>
  <c r="A30" i="2" s="1"/>
  <c r="A31" i="2" s="1"/>
  <c r="A32" i="2" s="1"/>
  <c r="A33" i="2" s="1"/>
  <c r="A34" i="2" s="1"/>
  <c r="A35" i="2" s="1"/>
  <c r="A36" i="2" s="1"/>
  <c r="A37" i="2" s="1"/>
  <c r="A38" i="2" s="1"/>
  <c r="A39" i="2" s="1"/>
  <c r="A40" i="2" s="1"/>
  <c r="A3" i="2"/>
  <c r="C17" i="1"/>
  <c r="C27" i="1" l="1"/>
  <c r="C10" i="1" l="1"/>
  <c r="C26" i="1" l="1"/>
  <c r="C20" i="1"/>
  <c r="C11" i="1"/>
  <c r="C16" i="1"/>
  <c r="C8" i="1" l="1"/>
  <c r="C25" i="1" s="1"/>
  <c r="C23" i="1" s="1"/>
  <c r="C15" i="1"/>
  <c r="C18" i="1" l="1"/>
  <c r="C5" i="1" l="1"/>
  <c r="C2" i="1" s="1"/>
  <c r="C3" i="1" s="1"/>
</calcChain>
</file>

<file path=xl/sharedStrings.xml><?xml version="1.0" encoding="utf-8"?>
<sst xmlns="http://schemas.openxmlformats.org/spreadsheetml/2006/main" count="42" uniqueCount="31">
  <si>
    <t>From:</t>
  </si>
  <si>
    <t>https://www.engineeringtoolbox.com/</t>
  </si>
  <si>
    <r>
      <rPr>
        <sz val="11"/>
        <color theme="1"/>
        <rFont val="Calibri"/>
        <family val="2"/>
      </rPr>
      <t>Δ</t>
    </r>
    <r>
      <rPr>
        <sz val="11"/>
        <color theme="1"/>
        <rFont val="Calibri"/>
        <family val="2"/>
        <scheme val="minor"/>
      </rPr>
      <t>p</t>
    </r>
  </si>
  <si>
    <t>λ</t>
  </si>
  <si>
    <t>l</t>
  </si>
  <si>
    <t>m</t>
  </si>
  <si>
    <t>Pa</t>
  </si>
  <si>
    <t>bar</t>
  </si>
  <si>
    <t>v</t>
  </si>
  <si>
    <t>m/s</t>
  </si>
  <si>
    <r>
      <t>d</t>
    </r>
    <r>
      <rPr>
        <vertAlign val="subscript"/>
        <sz val="11"/>
        <color theme="1"/>
        <rFont val="Calibri"/>
        <family val="2"/>
        <scheme val="minor"/>
      </rPr>
      <t>h</t>
    </r>
  </si>
  <si>
    <r>
      <t>ρ</t>
    </r>
    <r>
      <rPr>
        <vertAlign val="subscript"/>
        <sz val="11"/>
        <color theme="1"/>
        <rFont val="Calibri"/>
        <family val="2"/>
        <scheme val="minor"/>
      </rPr>
      <t>f</t>
    </r>
  </si>
  <si>
    <t>kg/m3</t>
  </si>
  <si>
    <t>m3/hr</t>
  </si>
  <si>
    <t>Φ</t>
  </si>
  <si>
    <t>mm</t>
  </si>
  <si>
    <t>O</t>
  </si>
  <si>
    <t>m2</t>
  </si>
  <si>
    <t>Darcy-Weisbach friction coefficient</t>
  </si>
  <si>
    <t>Re</t>
  </si>
  <si>
    <t>k</t>
  </si>
  <si>
    <t>Reynolds</t>
  </si>
  <si>
    <t>u</t>
  </si>
  <si>
    <t>m2/s</t>
  </si>
  <si>
    <t>water @ 15.6C</t>
  </si>
  <si>
    <r>
      <t>λ</t>
    </r>
    <r>
      <rPr>
        <vertAlign val="subscript"/>
        <sz val="11"/>
        <color theme="1"/>
        <rFont val="Calibri"/>
        <family val="2"/>
      </rPr>
      <t>Laminar 2000</t>
    </r>
  </si>
  <si>
    <r>
      <t>λ</t>
    </r>
    <r>
      <rPr>
        <vertAlign val="subscript"/>
        <sz val="11"/>
        <color theme="1"/>
        <rFont val="Calibri"/>
        <family val="2"/>
      </rPr>
      <t>Colebrooke/White 2500</t>
    </r>
  </si>
  <si>
    <t>Flow</t>
  </si>
  <si>
    <t xml:space="preserve"> linear interpolation between 2000-2500 Re</t>
  </si>
  <si>
    <r>
      <rPr>
        <b/>
        <sz val="11"/>
        <color theme="1"/>
        <rFont val="Calibri"/>
        <family val="2"/>
      </rPr>
      <t>Δ</t>
    </r>
    <r>
      <rPr>
        <b/>
        <sz val="11"/>
        <color theme="1"/>
        <rFont val="Calibri"/>
        <family val="2"/>
        <scheme val="minor"/>
      </rPr>
      <t>P</t>
    </r>
  </si>
  <si>
    <t xml:space="preserve">This graph displays the linear interpolation, between 2000 and 2500 Reynolds. The Darcy-Weisbach function does not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</si>
</sst>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"/>
    <numFmt numFmtId="165" formatCode="0.000"/>
  </numFmts>
  <fonts count="9" x14ac:knownFonts="1"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</font>
    <font>
      <vertAlign val="subscript"/>
      <sz val="11"/>
      <color theme="1"/>
      <name val="Calibri"/>
      <family val="2"/>
      <scheme val="minor"/>
    </font>
    <font>
      <vertAlign val="subscript"/>
      <sz val="11"/>
      <color theme="1"/>
      <name val="Calibri"/>
      <family val="2"/>
    </font>
    <font>
      <b/>
      <sz val="11"/>
      <color theme="1"/>
      <name val="Calibri"/>
      <family val="2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C6EFCE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1" fillId="2" borderId="0" applyNumberFormat="0" applyBorder="0" applyAlignment="0" applyProtection="0"/>
    <xf numFmtId="0" fontId="3" fillId="0" borderId="0" applyNumberFormat="0" applyFill="0" applyBorder="0" applyAlignment="0" applyProtection="0"/>
  </cellStyleXfs>
  <cellXfs count="15">
    <xf numFmtId="0" fontId="0" fillId="0" borderId="0" xfId="0"/>
    <xf numFmtId="0" fontId="3" fillId="0" borderId="0" xfId="2"/>
    <xf numFmtId="0" fontId="4" fillId="0" borderId="0" xfId="0" applyFont="1"/>
    <xf numFmtId="165" fontId="0" fillId="0" borderId="0" xfId="0" applyNumberFormat="1"/>
    <xf numFmtId="2" fontId="0" fillId="0" borderId="0" xfId="0" applyNumberFormat="1"/>
    <xf numFmtId="1" fontId="0" fillId="0" borderId="0" xfId="0" applyNumberFormat="1"/>
    <xf numFmtId="0" fontId="2" fillId="0" borderId="0" xfId="0" applyFont="1"/>
    <xf numFmtId="2" fontId="0" fillId="0" borderId="0" xfId="0" applyNumberFormat="1" applyBorder="1"/>
    <xf numFmtId="0" fontId="0" fillId="0" borderId="0" xfId="0" applyBorder="1"/>
    <xf numFmtId="164" fontId="0" fillId="0" borderId="0" xfId="0" applyNumberFormat="1" applyBorder="1"/>
    <xf numFmtId="1" fontId="0" fillId="0" borderId="0" xfId="0" applyNumberFormat="1" applyBorder="1"/>
    <xf numFmtId="0" fontId="1" fillId="2" borderId="0" xfId="1" applyBorder="1" applyProtection="1">
      <protection locked="0"/>
    </xf>
    <xf numFmtId="0" fontId="1" fillId="2" borderId="0" xfId="1" applyProtection="1">
      <protection locked="0"/>
    </xf>
    <xf numFmtId="0" fontId="2" fillId="0" borderId="0" xfId="0" applyFont="1" applyAlignment="1">
      <alignment horizontal="right"/>
    </xf>
    <xf numFmtId="164" fontId="0" fillId="0" borderId="0" xfId="0" applyNumberFormat="1"/>
  </cellXfs>
  <cellStyles count="3">
    <cellStyle name="Good" xfId="1" builtinId="26"/>
    <cellStyle name="Hyperlink" xfId="2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latin typeface="Calibri" panose="020F0502020204030204" pitchFamily="34" charset="0"/>
                <a:cs typeface="Calibri" panose="020F0502020204030204" pitchFamily="34" charset="0"/>
              </a:rPr>
              <a:t>Δ</a:t>
            </a:r>
            <a:r>
              <a:rPr lang="en-US"/>
              <a:t>P vs Re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'DW interpolation'!$C$1</c:f>
              <c:strCache>
                <c:ptCount val="1"/>
                <c:pt idx="0">
                  <c:v>ΔP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'DW interpolation'!$B$2:$B$40</c:f>
              <c:numCache>
                <c:formatCode>0</c:formatCode>
                <c:ptCount val="39"/>
                <c:pt idx="0">
                  <c:v>1251.9562878418517</c:v>
                </c:pt>
                <c:pt idx="1">
                  <c:v>1314.5541022339441</c:v>
                </c:pt>
                <c:pt idx="2">
                  <c:v>1377.1519166260368</c:v>
                </c:pt>
                <c:pt idx="3">
                  <c:v>1439.7497310181295</c:v>
                </c:pt>
                <c:pt idx="4">
                  <c:v>1502.347545410222</c:v>
                </c:pt>
                <c:pt idx="5">
                  <c:v>1564.9453598023144</c:v>
                </c:pt>
                <c:pt idx="6">
                  <c:v>1627.5431741944074</c:v>
                </c:pt>
                <c:pt idx="7">
                  <c:v>1690.1409885865</c:v>
                </c:pt>
                <c:pt idx="8">
                  <c:v>1752.7388029785925</c:v>
                </c:pt>
                <c:pt idx="9">
                  <c:v>1815.3366173706854</c:v>
                </c:pt>
                <c:pt idx="10">
                  <c:v>1877.9344317627779</c:v>
                </c:pt>
                <c:pt idx="11">
                  <c:v>1940.5322461548703</c:v>
                </c:pt>
                <c:pt idx="12">
                  <c:v>2003.1300605469628</c:v>
                </c:pt>
                <c:pt idx="13">
                  <c:v>2065.7278749390557</c:v>
                </c:pt>
                <c:pt idx="14">
                  <c:v>2128.3256893311486</c:v>
                </c:pt>
                <c:pt idx="15">
                  <c:v>2190.9235037232406</c:v>
                </c:pt>
                <c:pt idx="16">
                  <c:v>2253.5213181153335</c:v>
                </c:pt>
                <c:pt idx="17">
                  <c:v>2316.119132507426</c:v>
                </c:pt>
                <c:pt idx="18">
                  <c:v>2378.7169468995189</c:v>
                </c:pt>
                <c:pt idx="19">
                  <c:v>2441.3147612916114</c:v>
                </c:pt>
                <c:pt idx="20">
                  <c:v>2503.9125756837038</c:v>
                </c:pt>
                <c:pt idx="21">
                  <c:v>2566.5103900757967</c:v>
                </c:pt>
                <c:pt idx="22">
                  <c:v>2629.1082044678892</c:v>
                </c:pt>
                <c:pt idx="23">
                  <c:v>2691.7060188599821</c:v>
                </c:pt>
                <c:pt idx="24">
                  <c:v>2754.303833252075</c:v>
                </c:pt>
                <c:pt idx="25">
                  <c:v>2816.9016476441675</c:v>
                </c:pt>
                <c:pt idx="26">
                  <c:v>2879.4994620362604</c:v>
                </c:pt>
                <c:pt idx="27">
                  <c:v>2942.0972764283524</c:v>
                </c:pt>
                <c:pt idx="28">
                  <c:v>3004.6950908204449</c:v>
                </c:pt>
                <c:pt idx="29">
                  <c:v>3067.2929052125378</c:v>
                </c:pt>
                <c:pt idx="30">
                  <c:v>3129.8907196046298</c:v>
                </c:pt>
                <c:pt idx="31">
                  <c:v>3192.4885339967227</c:v>
                </c:pt>
                <c:pt idx="32">
                  <c:v>3255.0863483888156</c:v>
                </c:pt>
                <c:pt idx="33">
                  <c:v>3317.6841627809076</c:v>
                </c:pt>
                <c:pt idx="34">
                  <c:v>3380.2819771730005</c:v>
                </c:pt>
                <c:pt idx="35">
                  <c:v>3442.879791565093</c:v>
                </c:pt>
                <c:pt idx="36">
                  <c:v>3505.4776059571855</c:v>
                </c:pt>
                <c:pt idx="37">
                  <c:v>3568.0754203492784</c:v>
                </c:pt>
                <c:pt idx="38">
                  <c:v>3630.6732347413713</c:v>
                </c:pt>
              </c:numCache>
            </c:numRef>
          </c:xVal>
          <c:yVal>
            <c:numRef>
              <c:f>'DW interpolation'!$C$2:$C$40</c:f>
              <c:numCache>
                <c:formatCode>0.000</c:formatCode>
                <c:ptCount val="39"/>
                <c:pt idx="0">
                  <c:v>3.268414105338987E-3</c:v>
                </c:pt>
                <c:pt idx="1">
                  <c:v>3.4318348106059365E-3</c:v>
                </c:pt>
                <c:pt idx="2">
                  <c:v>3.5952555158728864E-3</c:v>
                </c:pt>
                <c:pt idx="3">
                  <c:v>3.7586762211398359E-3</c:v>
                </c:pt>
                <c:pt idx="4">
                  <c:v>3.9220969264067854E-3</c:v>
                </c:pt>
                <c:pt idx="5">
                  <c:v>4.0855176316737353E-3</c:v>
                </c:pt>
                <c:pt idx="6">
                  <c:v>4.2489383369406844E-3</c:v>
                </c:pt>
                <c:pt idx="7">
                  <c:v>4.4123590422076343E-3</c:v>
                </c:pt>
                <c:pt idx="8">
                  <c:v>4.5757797474745817E-3</c:v>
                </c:pt>
                <c:pt idx="9">
                  <c:v>4.7392004527415325E-3</c:v>
                </c:pt>
                <c:pt idx="10">
                  <c:v>4.9026211580084824E-3</c:v>
                </c:pt>
                <c:pt idx="11">
                  <c:v>5.0660418632754323E-3</c:v>
                </c:pt>
                <c:pt idx="12">
                  <c:v>5.2553842994919435E-3</c:v>
                </c:pt>
                <c:pt idx="13">
                  <c:v>5.9662250988739372E-3</c:v>
                </c:pt>
                <c:pt idx="14">
                  <c:v>6.7337500703064396E-3</c:v>
                </c:pt>
                <c:pt idx="15">
                  <c:v>7.5600377100397669E-3</c:v>
                </c:pt>
                <c:pt idx="16">
                  <c:v>8.4471665143242627E-3</c:v>
                </c:pt>
                <c:pt idx="17">
                  <c:v>9.3972149794102327E-3</c:v>
                </c:pt>
                <c:pt idx="18">
                  <c:v>1.0412261601548014E-2</c:v>
                </c:pt>
                <c:pt idx="19">
                  <c:v>1.1494384876987921E-2</c:v>
                </c:pt>
                <c:pt idx="20">
                  <c:v>1.2611314599729936E-2</c:v>
                </c:pt>
                <c:pt idx="21">
                  <c:v>1.324959362714734E-2</c:v>
                </c:pt>
                <c:pt idx="22">
                  <c:v>1.3903861158252751E-2</c:v>
                </c:pt>
                <c:pt idx="23">
                  <c:v>1.4574020031714211E-2</c:v>
                </c:pt>
                <c:pt idx="24">
                  <c:v>1.525960331067421E-2</c:v>
                </c:pt>
                <c:pt idx="25">
                  <c:v>1.5961166054763925E-2</c:v>
                </c:pt>
                <c:pt idx="26">
                  <c:v>1.6678086166493293E-2</c:v>
                </c:pt>
                <c:pt idx="27">
                  <c:v>1.7411097502746331E-2</c:v>
                </c:pt>
                <c:pt idx="28">
                  <c:v>1.8159881767274452E-2</c:v>
                </c:pt>
                <c:pt idx="29">
                  <c:v>1.8924415053406762E-2</c:v>
                </c:pt>
                <c:pt idx="30">
                  <c:v>1.9704954657174856E-2</c:v>
                </c:pt>
                <c:pt idx="31">
                  <c:v>2.0501247392158688E-2</c:v>
                </c:pt>
                <c:pt idx="32">
                  <c:v>2.1312632700901234E-2</c:v>
                </c:pt>
                <c:pt idx="33">
                  <c:v>2.2140911809053997E-2</c:v>
                </c:pt>
                <c:pt idx="34">
                  <c:v>2.298424733485786E-2</c:v>
                </c:pt>
                <c:pt idx="35">
                  <c:v>2.3843174771958069E-2</c:v>
                </c:pt>
                <c:pt idx="36">
                  <c:v>2.4717608345059639E-2</c:v>
                </c:pt>
                <c:pt idx="37">
                  <c:v>2.5608253184365944E-2</c:v>
                </c:pt>
                <c:pt idx="38">
                  <c:v>2.6514689424282405E-2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120-45FE-BBB8-983AC53D02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87292239"/>
        <c:axId val="787270191"/>
      </c:scatterChart>
      <c:valAx>
        <c:axId val="78729223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7270191"/>
        <c:crosses val="autoZero"/>
        <c:crossBetween val="midCat"/>
      </c:valAx>
      <c:valAx>
        <c:axId val="7872701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7292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tmp"/><Relationship Id="rId2" Type="http://schemas.openxmlformats.org/officeDocument/2006/relationships/image" Target="../media/image2.tmp"/><Relationship Id="rId1" Type="http://schemas.openxmlformats.org/officeDocument/2006/relationships/image" Target="../media/image1.tmp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0</xdr:colOff>
      <xdr:row>3</xdr:row>
      <xdr:rowOff>0</xdr:rowOff>
    </xdr:from>
    <xdr:to>
      <xdr:col>19</xdr:col>
      <xdr:colOff>38415</xdr:colOff>
      <xdr:row>23</xdr:row>
      <xdr:rowOff>95448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486400" y="542925"/>
          <a:ext cx="6134415" cy="3854648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26</xdr:row>
      <xdr:rowOff>0</xdr:rowOff>
    </xdr:from>
    <xdr:to>
      <xdr:col>19</xdr:col>
      <xdr:colOff>57466</xdr:colOff>
      <xdr:row>44</xdr:row>
      <xdr:rowOff>57320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486400" y="4762500"/>
          <a:ext cx="6153466" cy="3314870"/>
        </a:xfrm>
        <a:prstGeom prst="rect">
          <a:avLst/>
        </a:prstGeom>
      </xdr:spPr>
    </xdr:pic>
    <xdr:clientData/>
  </xdr:twoCellAnchor>
  <xdr:twoCellAnchor editAs="oneCell">
    <xdr:from>
      <xdr:col>8</xdr:col>
      <xdr:colOff>596900</xdr:colOff>
      <xdr:row>47</xdr:row>
      <xdr:rowOff>25400</xdr:rowOff>
    </xdr:from>
    <xdr:to>
      <xdr:col>17</xdr:col>
      <xdr:colOff>533400</xdr:colOff>
      <xdr:row>75</xdr:row>
      <xdr:rowOff>120816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 t="3728"/>
        <a:stretch/>
      </xdr:blipFill>
      <xdr:spPr>
        <a:xfrm>
          <a:off x="5473700" y="8756650"/>
          <a:ext cx="5422900" cy="524844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400050</xdr:colOff>
          <xdr:row>1</xdr:row>
          <xdr:rowOff>50800</xdr:rowOff>
        </xdr:from>
        <xdr:to>
          <xdr:col>4</xdr:col>
          <xdr:colOff>336550</xdr:colOff>
          <xdr:row>2</xdr:row>
          <xdr:rowOff>95250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434975</xdr:colOff>
      <xdr:row>0</xdr:row>
      <xdr:rowOff>0</xdr:rowOff>
    </xdr:from>
    <xdr:to>
      <xdr:col>15</xdr:col>
      <xdr:colOff>485775</xdr:colOff>
      <xdr:row>15</xdr:row>
      <xdr:rowOff>61913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engineeringtoolbox.com/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K47"/>
  <sheetViews>
    <sheetView showGridLines="0" tabSelected="1" workbookViewId="0">
      <selection activeCell="C4" sqref="C4"/>
    </sheetView>
  </sheetViews>
  <sheetFormatPr defaultRowHeight="14.5" x14ac:dyDescent="0.35"/>
  <cols>
    <col min="2" max="2" width="15.1796875" bestFit="1" customWidth="1"/>
    <col min="3" max="3" width="8.7265625" customWidth="1"/>
    <col min="4" max="4" width="8.6328125" customWidth="1"/>
  </cols>
  <sheetData>
    <row r="2" spans="2:11" x14ac:dyDescent="0.35">
      <c r="B2" t="s">
        <v>2</v>
      </c>
      <c r="C2" s="5">
        <f>C5*(C6/C10)*(C12*C8^2/2)</f>
        <v>2583.9950080546446</v>
      </c>
      <c r="D2" t="s">
        <v>6</v>
      </c>
      <c r="J2" t="s">
        <v>0</v>
      </c>
      <c r="K2" s="1" t="s">
        <v>1</v>
      </c>
    </row>
    <row r="3" spans="2:11" x14ac:dyDescent="0.35">
      <c r="C3" s="3">
        <f>C2/100000</f>
        <v>2.5839950080546445E-2</v>
      </c>
      <c r="D3" t="s">
        <v>7</v>
      </c>
    </row>
    <row r="5" spans="2:11" x14ac:dyDescent="0.35">
      <c r="B5" s="2" t="s">
        <v>3</v>
      </c>
      <c r="C5" s="14">
        <f>C15</f>
        <v>3.2332209894555333E-2</v>
      </c>
    </row>
    <row r="6" spans="2:11" x14ac:dyDescent="0.35">
      <c r="B6" t="s">
        <v>4</v>
      </c>
      <c r="C6" s="11">
        <v>100</v>
      </c>
      <c r="D6" t="s">
        <v>5</v>
      </c>
    </row>
    <row r="7" spans="2:11" x14ac:dyDescent="0.35">
      <c r="B7" s="2" t="s">
        <v>14</v>
      </c>
      <c r="C7" s="11">
        <v>2</v>
      </c>
      <c r="D7" t="s">
        <v>13</v>
      </c>
    </row>
    <row r="8" spans="2:11" x14ac:dyDescent="0.35">
      <c r="B8" t="s">
        <v>8</v>
      </c>
      <c r="C8" s="7">
        <f>C7/3600/C11</f>
        <v>0.28294212105225836</v>
      </c>
      <c r="D8" t="s">
        <v>9</v>
      </c>
    </row>
    <row r="9" spans="2:11" ht="16.5" x14ac:dyDescent="0.45">
      <c r="B9" t="s">
        <v>10</v>
      </c>
      <c r="C9" s="11">
        <v>50</v>
      </c>
      <c r="D9" t="s">
        <v>15</v>
      </c>
    </row>
    <row r="10" spans="2:11" x14ac:dyDescent="0.35">
      <c r="C10" s="8">
        <f>C9/1000</f>
        <v>0.05</v>
      </c>
      <c r="D10" t="s">
        <v>5</v>
      </c>
    </row>
    <row r="11" spans="2:11" x14ac:dyDescent="0.35">
      <c r="B11" t="s">
        <v>16</v>
      </c>
      <c r="C11" s="9">
        <f>(C10/2)^2*PI()</f>
        <v>1.9634954084936209E-3</v>
      </c>
      <c r="D11" t="s">
        <v>17</v>
      </c>
    </row>
    <row r="12" spans="2:11" ht="16.5" x14ac:dyDescent="0.45">
      <c r="B12" t="s">
        <v>11</v>
      </c>
      <c r="C12" s="11">
        <v>998.3</v>
      </c>
      <c r="D12" t="s">
        <v>12</v>
      </c>
    </row>
    <row r="13" spans="2:11" x14ac:dyDescent="0.35">
      <c r="C13" s="8"/>
    </row>
    <row r="14" spans="2:11" x14ac:dyDescent="0.35">
      <c r="C14" s="8"/>
    </row>
    <row r="15" spans="2:11" x14ac:dyDescent="0.35">
      <c r="B15" s="2" t="s">
        <v>3</v>
      </c>
      <c r="C15" s="9">
        <f>IF(C23&lt;2000,64/C23,IF(C23&gt;2500,f_ColebrookWhite(C20,C23,C19),(C16-C17)/(2500-2000)*(C18-2000)+C17))</f>
        <v>3.2332209894555333E-2</v>
      </c>
      <c r="D15" t="s">
        <v>28</v>
      </c>
    </row>
    <row r="16" spans="2:11" ht="16.5" x14ac:dyDescent="0.45">
      <c r="B16" s="2" t="s">
        <v>26</v>
      </c>
      <c r="C16" s="9">
        <f>f_ColebrookWhite(C20,2500,C19,0.00001,2000)</f>
        <v>4.7703101105479144E-2</v>
      </c>
    </row>
    <row r="17" spans="2:10" ht="16.5" x14ac:dyDescent="0.45">
      <c r="B17" s="2" t="s">
        <v>25</v>
      </c>
      <c r="C17">
        <f>64/2000</f>
        <v>3.2000000000000001E-2</v>
      </c>
    </row>
    <row r="18" spans="2:10" x14ac:dyDescent="0.35">
      <c r="B18" t="s">
        <v>19</v>
      </c>
      <c r="C18" s="10">
        <f>C23</f>
        <v>12519.562878418516</v>
      </c>
    </row>
    <row r="19" spans="2:10" x14ac:dyDescent="0.35">
      <c r="B19" t="s">
        <v>20</v>
      </c>
      <c r="C19" s="12">
        <v>1E-4</v>
      </c>
      <c r="D19" t="s">
        <v>5</v>
      </c>
    </row>
    <row r="20" spans="2:10" ht="16.5" x14ac:dyDescent="0.45">
      <c r="B20" t="s">
        <v>10</v>
      </c>
      <c r="C20">
        <f>C10</f>
        <v>0.05</v>
      </c>
      <c r="D20" t="s">
        <v>5</v>
      </c>
    </row>
    <row r="23" spans="2:10" x14ac:dyDescent="0.35">
      <c r="B23" t="s">
        <v>19</v>
      </c>
      <c r="C23" s="5">
        <f>C25*C26/C27</f>
        <v>12519.562878418516</v>
      </c>
    </row>
    <row r="25" spans="2:10" x14ac:dyDescent="0.35">
      <c r="B25" t="s">
        <v>22</v>
      </c>
      <c r="C25" s="4">
        <f>C8</f>
        <v>0.28294212105225836</v>
      </c>
      <c r="D25" t="s">
        <v>9</v>
      </c>
    </row>
    <row r="26" spans="2:10" ht="16.5" x14ac:dyDescent="0.45">
      <c r="B26" t="s">
        <v>10</v>
      </c>
      <c r="C26">
        <f>C10</f>
        <v>0.05</v>
      </c>
      <c r="D26" t="s">
        <v>5</v>
      </c>
      <c r="J26" s="6" t="s">
        <v>18</v>
      </c>
    </row>
    <row r="27" spans="2:10" x14ac:dyDescent="0.35">
      <c r="B27" t="s">
        <v>8</v>
      </c>
      <c r="C27" s="12">
        <f>1.13*0.000001</f>
        <v>1.1299999999999998E-6</v>
      </c>
      <c r="D27" t="s">
        <v>23</v>
      </c>
      <c r="E27" t="s">
        <v>24</v>
      </c>
    </row>
    <row r="47" spans="10:10" x14ac:dyDescent="0.35">
      <c r="J47" s="6" t="s">
        <v>21</v>
      </c>
    </row>
  </sheetData>
  <sheetProtection sheet="1" objects="1" scenarios="1"/>
  <hyperlinks>
    <hyperlink ref="K2" r:id="rId1" xr:uid="{6E852F48-BA8D-4C91-92BE-AE5FF39D16DA}"/>
  </hyperlinks>
  <pageMargins left="0.7" right="0.7" top="0.75" bottom="0.75" header="0.3" footer="0.3"/>
  <pageSetup paperSize="9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ECDDC5-B342-4BCC-8D4C-D955BFB8ED3A}">
  <sheetPr codeName="Sheet2"/>
  <dimension ref="A1:F40"/>
  <sheetViews>
    <sheetView showGridLines="0" workbookViewId="0">
      <selection activeCell="E19" sqref="E19"/>
    </sheetView>
  </sheetViews>
  <sheetFormatPr defaultRowHeight="14.5" x14ac:dyDescent="0.35"/>
  <cols>
    <col min="5" max="5" width="8.7265625" customWidth="1"/>
  </cols>
  <sheetData>
    <row r="1" spans="1:3" x14ac:dyDescent="0.35">
      <c r="A1" s="13" t="s">
        <v>27</v>
      </c>
      <c r="B1" s="13" t="s">
        <v>19</v>
      </c>
      <c r="C1" s="13" t="s">
        <v>29</v>
      </c>
    </row>
    <row r="2" spans="1:3" x14ac:dyDescent="0.35">
      <c r="A2">
        <v>0.1</v>
      </c>
      <c r="B2" s="5">
        <v>1251.9562878418517</v>
      </c>
      <c r="C2" s="3">
        <v>3.268414105338987E-3</v>
      </c>
    </row>
    <row r="3" spans="1:3" x14ac:dyDescent="0.35">
      <c r="A3">
        <f>A2+0.005</f>
        <v>0.10500000000000001</v>
      </c>
      <c r="B3" s="5">
        <v>1314.5541022339441</v>
      </c>
      <c r="C3" s="3">
        <v>3.4318348106059365E-3</v>
      </c>
    </row>
    <row r="4" spans="1:3" x14ac:dyDescent="0.35">
      <c r="A4">
        <f t="shared" ref="A4:A40" si="0">A3+0.005</f>
        <v>0.11000000000000001</v>
      </c>
      <c r="B4" s="5">
        <v>1377.1519166260368</v>
      </c>
      <c r="C4" s="3">
        <v>3.5952555158728864E-3</v>
      </c>
    </row>
    <row r="5" spans="1:3" x14ac:dyDescent="0.35">
      <c r="A5">
        <f t="shared" si="0"/>
        <v>0.11500000000000002</v>
      </c>
      <c r="B5" s="5">
        <v>1439.7497310181295</v>
      </c>
      <c r="C5" s="3">
        <v>3.7586762211398359E-3</v>
      </c>
    </row>
    <row r="6" spans="1:3" x14ac:dyDescent="0.35">
      <c r="A6">
        <f t="shared" si="0"/>
        <v>0.12000000000000002</v>
      </c>
      <c r="B6" s="5">
        <v>1502.347545410222</v>
      </c>
      <c r="C6" s="3">
        <v>3.9220969264067854E-3</v>
      </c>
    </row>
    <row r="7" spans="1:3" x14ac:dyDescent="0.35">
      <c r="A7">
        <f t="shared" si="0"/>
        <v>0.12500000000000003</v>
      </c>
      <c r="B7" s="5">
        <v>1564.9453598023144</v>
      </c>
      <c r="C7" s="3">
        <v>4.0855176316737353E-3</v>
      </c>
    </row>
    <row r="8" spans="1:3" x14ac:dyDescent="0.35">
      <c r="A8">
        <f t="shared" si="0"/>
        <v>0.13000000000000003</v>
      </c>
      <c r="B8" s="5">
        <v>1627.5431741944074</v>
      </c>
      <c r="C8" s="3">
        <v>4.2489383369406844E-3</v>
      </c>
    </row>
    <row r="9" spans="1:3" x14ac:dyDescent="0.35">
      <c r="A9">
        <f t="shared" si="0"/>
        <v>0.13500000000000004</v>
      </c>
      <c r="B9" s="5">
        <v>1690.1409885865</v>
      </c>
      <c r="C9" s="3">
        <v>4.4123590422076343E-3</v>
      </c>
    </row>
    <row r="10" spans="1:3" x14ac:dyDescent="0.35">
      <c r="A10">
        <f t="shared" si="0"/>
        <v>0.14000000000000004</v>
      </c>
      <c r="B10" s="5">
        <v>1752.7388029785925</v>
      </c>
      <c r="C10" s="3">
        <v>4.5757797474745817E-3</v>
      </c>
    </row>
    <row r="11" spans="1:3" x14ac:dyDescent="0.35">
      <c r="A11">
        <f t="shared" si="0"/>
        <v>0.14500000000000005</v>
      </c>
      <c r="B11" s="5">
        <v>1815.3366173706854</v>
      </c>
      <c r="C11" s="3">
        <v>4.7392004527415325E-3</v>
      </c>
    </row>
    <row r="12" spans="1:3" x14ac:dyDescent="0.35">
      <c r="A12">
        <f t="shared" si="0"/>
        <v>0.15000000000000005</v>
      </c>
      <c r="B12" s="5">
        <v>1877.9344317627779</v>
      </c>
      <c r="C12" s="3">
        <v>4.9026211580084824E-3</v>
      </c>
    </row>
    <row r="13" spans="1:3" x14ac:dyDescent="0.35">
      <c r="A13">
        <f t="shared" si="0"/>
        <v>0.15500000000000005</v>
      </c>
      <c r="B13" s="5">
        <v>1940.5322461548703</v>
      </c>
      <c r="C13" s="3">
        <v>5.0660418632754323E-3</v>
      </c>
    </row>
    <row r="14" spans="1:3" x14ac:dyDescent="0.35">
      <c r="A14">
        <f t="shared" si="0"/>
        <v>0.16000000000000006</v>
      </c>
      <c r="B14" s="5">
        <v>2003.1300605469628</v>
      </c>
      <c r="C14" s="3">
        <v>5.2553842994919435E-3</v>
      </c>
    </row>
    <row r="15" spans="1:3" x14ac:dyDescent="0.35">
      <c r="A15">
        <f t="shared" si="0"/>
        <v>0.16500000000000006</v>
      </c>
      <c r="B15" s="5">
        <v>2065.7278749390557</v>
      </c>
      <c r="C15" s="3">
        <v>5.9662250988739372E-3</v>
      </c>
    </row>
    <row r="16" spans="1:3" x14ac:dyDescent="0.35">
      <c r="A16">
        <f t="shared" si="0"/>
        <v>0.17000000000000007</v>
      </c>
      <c r="B16" s="5">
        <v>2128.3256893311486</v>
      </c>
      <c r="C16" s="3">
        <v>6.7337500703064396E-3</v>
      </c>
    </row>
    <row r="17" spans="1:6" x14ac:dyDescent="0.35">
      <c r="A17">
        <f t="shared" si="0"/>
        <v>0.17500000000000007</v>
      </c>
      <c r="B17" s="5">
        <v>2190.9235037232406</v>
      </c>
      <c r="C17" s="3">
        <v>7.5600377100397669E-3</v>
      </c>
      <c r="F17" t="s">
        <v>30</v>
      </c>
    </row>
    <row r="18" spans="1:6" x14ac:dyDescent="0.35">
      <c r="A18">
        <f t="shared" si="0"/>
        <v>0.18000000000000008</v>
      </c>
      <c r="B18" s="5">
        <v>2253.5213181153335</v>
      </c>
      <c r="C18" s="3">
        <v>8.4471665143242627E-3</v>
      </c>
    </row>
    <row r="19" spans="1:6" x14ac:dyDescent="0.35">
      <c r="A19">
        <f t="shared" si="0"/>
        <v>0.18500000000000008</v>
      </c>
      <c r="B19" s="5">
        <v>2316.119132507426</v>
      </c>
      <c r="C19" s="3">
        <v>9.3972149794102327E-3</v>
      </c>
    </row>
    <row r="20" spans="1:6" x14ac:dyDescent="0.35">
      <c r="A20">
        <f t="shared" si="0"/>
        <v>0.19000000000000009</v>
      </c>
      <c r="B20" s="5">
        <v>2378.7169468995189</v>
      </c>
      <c r="C20" s="3">
        <v>1.0412261601548014E-2</v>
      </c>
    </row>
    <row r="21" spans="1:6" x14ac:dyDescent="0.35">
      <c r="A21">
        <f t="shared" si="0"/>
        <v>0.19500000000000009</v>
      </c>
      <c r="B21" s="5">
        <v>2441.3147612916114</v>
      </c>
      <c r="C21" s="3">
        <v>1.1494384876987921E-2</v>
      </c>
    </row>
    <row r="22" spans="1:6" x14ac:dyDescent="0.35">
      <c r="A22">
        <f t="shared" si="0"/>
        <v>0.20000000000000009</v>
      </c>
      <c r="B22" s="5">
        <v>2503.9125756837038</v>
      </c>
      <c r="C22" s="3">
        <v>1.2611314599729936E-2</v>
      </c>
    </row>
    <row r="23" spans="1:6" x14ac:dyDescent="0.35">
      <c r="A23">
        <f t="shared" si="0"/>
        <v>0.2050000000000001</v>
      </c>
      <c r="B23" s="5">
        <v>2566.5103900757967</v>
      </c>
      <c r="C23" s="3">
        <v>1.324959362714734E-2</v>
      </c>
    </row>
    <row r="24" spans="1:6" x14ac:dyDescent="0.35">
      <c r="A24">
        <f t="shared" si="0"/>
        <v>0.2100000000000001</v>
      </c>
      <c r="B24" s="5">
        <v>2629.1082044678892</v>
      </c>
      <c r="C24" s="3">
        <v>1.3903861158252751E-2</v>
      </c>
    </row>
    <row r="25" spans="1:6" x14ac:dyDescent="0.35">
      <c r="A25">
        <f t="shared" si="0"/>
        <v>0.21500000000000011</v>
      </c>
      <c r="B25" s="5">
        <v>2691.7060188599821</v>
      </c>
      <c r="C25" s="3">
        <v>1.4574020031714211E-2</v>
      </c>
    </row>
    <row r="26" spans="1:6" x14ac:dyDescent="0.35">
      <c r="A26">
        <f t="shared" si="0"/>
        <v>0.22000000000000011</v>
      </c>
      <c r="B26" s="5">
        <v>2754.303833252075</v>
      </c>
      <c r="C26" s="3">
        <v>1.525960331067421E-2</v>
      </c>
    </row>
    <row r="27" spans="1:6" x14ac:dyDescent="0.35">
      <c r="A27">
        <f t="shared" si="0"/>
        <v>0.22500000000000012</v>
      </c>
      <c r="B27" s="5">
        <v>2816.9016476441675</v>
      </c>
      <c r="C27" s="3">
        <v>1.5961166054763925E-2</v>
      </c>
    </row>
    <row r="28" spans="1:6" x14ac:dyDescent="0.35">
      <c r="A28">
        <f t="shared" si="0"/>
        <v>0.23000000000000012</v>
      </c>
      <c r="B28" s="5">
        <v>2879.4994620362604</v>
      </c>
      <c r="C28" s="3">
        <v>1.6678086166493293E-2</v>
      </c>
    </row>
    <row r="29" spans="1:6" x14ac:dyDescent="0.35">
      <c r="A29">
        <f t="shared" si="0"/>
        <v>0.23500000000000013</v>
      </c>
      <c r="B29" s="5">
        <v>2942.0972764283524</v>
      </c>
      <c r="C29" s="3">
        <v>1.7411097502746331E-2</v>
      </c>
    </row>
    <row r="30" spans="1:6" x14ac:dyDescent="0.35">
      <c r="A30">
        <f t="shared" si="0"/>
        <v>0.24000000000000013</v>
      </c>
      <c r="B30" s="5">
        <v>3004.6950908204449</v>
      </c>
      <c r="C30" s="3">
        <v>1.8159881767274452E-2</v>
      </c>
    </row>
    <row r="31" spans="1:6" x14ac:dyDescent="0.35">
      <c r="A31">
        <f t="shared" si="0"/>
        <v>0.24500000000000013</v>
      </c>
      <c r="B31" s="5">
        <v>3067.2929052125378</v>
      </c>
      <c r="C31" s="3">
        <v>1.8924415053406762E-2</v>
      </c>
    </row>
    <row r="32" spans="1:6" x14ac:dyDescent="0.35">
      <c r="A32">
        <f t="shared" si="0"/>
        <v>0.25000000000000011</v>
      </c>
      <c r="B32" s="5">
        <v>3129.8907196046298</v>
      </c>
      <c r="C32" s="3">
        <v>1.9704954657174856E-2</v>
      </c>
    </row>
    <row r="33" spans="1:3" x14ac:dyDescent="0.35">
      <c r="A33">
        <f t="shared" si="0"/>
        <v>0.25500000000000012</v>
      </c>
      <c r="B33" s="5">
        <v>3192.4885339967227</v>
      </c>
      <c r="C33" s="3">
        <v>2.0501247392158688E-2</v>
      </c>
    </row>
    <row r="34" spans="1:3" x14ac:dyDescent="0.35">
      <c r="A34">
        <f t="shared" si="0"/>
        <v>0.26000000000000012</v>
      </c>
      <c r="B34" s="5">
        <v>3255.0863483888156</v>
      </c>
      <c r="C34" s="3">
        <v>2.1312632700901234E-2</v>
      </c>
    </row>
    <row r="35" spans="1:3" x14ac:dyDescent="0.35">
      <c r="A35">
        <f t="shared" si="0"/>
        <v>0.26500000000000012</v>
      </c>
      <c r="B35" s="5">
        <v>3317.6841627809076</v>
      </c>
      <c r="C35" s="3">
        <v>2.2140911809053997E-2</v>
      </c>
    </row>
    <row r="36" spans="1:3" x14ac:dyDescent="0.35">
      <c r="A36">
        <f t="shared" si="0"/>
        <v>0.27000000000000013</v>
      </c>
      <c r="B36" s="5">
        <v>3380.2819771730005</v>
      </c>
      <c r="C36" s="3">
        <v>2.298424733485786E-2</v>
      </c>
    </row>
    <row r="37" spans="1:3" x14ac:dyDescent="0.35">
      <c r="A37">
        <f t="shared" si="0"/>
        <v>0.27500000000000013</v>
      </c>
      <c r="B37" s="5">
        <v>3442.879791565093</v>
      </c>
      <c r="C37" s="3">
        <v>2.3843174771958069E-2</v>
      </c>
    </row>
    <row r="38" spans="1:3" x14ac:dyDescent="0.35">
      <c r="A38">
        <f t="shared" si="0"/>
        <v>0.28000000000000014</v>
      </c>
      <c r="B38" s="5">
        <v>3505.4776059571855</v>
      </c>
      <c r="C38" s="3">
        <v>2.4717608345059639E-2</v>
      </c>
    </row>
    <row r="39" spans="1:3" x14ac:dyDescent="0.35">
      <c r="A39">
        <f t="shared" si="0"/>
        <v>0.28500000000000014</v>
      </c>
      <c r="B39" s="5">
        <v>3568.0754203492784</v>
      </c>
      <c r="C39" s="3">
        <v>2.5608253184365944E-2</v>
      </c>
    </row>
    <row r="40" spans="1:3" x14ac:dyDescent="0.35">
      <c r="A40">
        <f t="shared" si="0"/>
        <v>0.29000000000000015</v>
      </c>
      <c r="B40" s="5">
        <v>3630.6732347413713</v>
      </c>
      <c r="C40" s="3">
        <v>2.6514689424282405E-2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Interpolate">
                <anchor moveWithCells="1">
                  <from>
                    <xdr:col>3</xdr:col>
                    <xdr:colOff>400050</xdr:colOff>
                    <xdr:row>1</xdr:row>
                    <xdr:rowOff>50800</xdr:rowOff>
                  </from>
                  <to>
                    <xdr:col>4</xdr:col>
                    <xdr:colOff>336550</xdr:colOff>
                    <xdr:row>2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Darcy-Weisbach</vt:lpstr>
      <vt:lpstr>DW interpolation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Darius</dc:creator>
  <cp:lastModifiedBy>Darius</cp:lastModifiedBy>
  <dcterms:created xsi:type="dcterms:W3CDTF">2015-06-05T18:17:20Z</dcterms:created>
  <dcterms:modified xsi:type="dcterms:W3CDTF">2021-01-15T13:55:00Z</dcterms:modified>
</cp:coreProperties>
</file>